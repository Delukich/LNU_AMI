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2"/>
  <workbookPr/>
  <mc:AlternateContent xmlns:mc="http://schemas.openxmlformats.org/markup-compatibility/2006">
    <mc:Choice Requires="x15">
      <x15ac:absPath xmlns:x15ac="http://schemas.microsoft.com/office/spreadsheetml/2010/11/ac" url="D:\STOP! Небезпечно для життя\А я попереджала\Теорія інформації та кодування\Практичні\03\"/>
    </mc:Choice>
  </mc:AlternateContent>
  <xr:revisionPtr revIDLastSave="7" documentId="13_ncr:1_{1EF3A440-62A8-4EFC-908C-D485FB642581}" xr6:coauthVersionLast="47" xr6:coauthVersionMax="47" xr10:uidLastSave="{81F58A8A-12AB-4686-9123-9AB9118DB823}"/>
  <bookViews>
    <workbookView xWindow="-120" yWindow="-120" windowWidth="20730" windowHeight="1104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E22" i="1"/>
  <c r="B21" i="1"/>
  <c r="E21" i="1"/>
  <c r="B20" i="1"/>
  <c r="E20" i="1"/>
  <c r="B19" i="1"/>
  <c r="E19" i="1"/>
  <c r="B18" i="1"/>
  <c r="E18" i="1"/>
  <c r="B17" i="1"/>
  <c r="E17" i="1"/>
  <c r="B16" i="1"/>
  <c r="E16" i="1"/>
  <c r="B15" i="1"/>
  <c r="E15" i="1"/>
  <c r="C15" i="1"/>
  <c r="B14" i="1"/>
  <c r="E14" i="1"/>
  <c r="C14" i="1" s="1"/>
  <c r="B13" i="1"/>
  <c r="E13" i="1"/>
  <c r="C13" i="1" l="1"/>
  <c r="C16" i="1"/>
  <c r="C17" i="1"/>
  <c r="C18" i="1"/>
  <c r="C19" i="1"/>
  <c r="C20" i="1"/>
  <c r="C21" i="1"/>
  <c r="C22" i="1"/>
  <c r="H6" i="1"/>
  <c r="J6" i="1"/>
  <c r="I6" i="1"/>
  <c r="E3" i="1"/>
  <c r="E4" i="1"/>
  <c r="E5" i="1"/>
  <c r="E6" i="1"/>
  <c r="E7" i="1"/>
  <c r="E8" i="1"/>
  <c r="E9" i="1"/>
  <c r="E10" i="1"/>
  <c r="E11" i="1"/>
  <c r="E12" i="1"/>
  <c r="E2" i="1"/>
  <c r="B2" i="1"/>
  <c r="B3" i="1"/>
  <c r="B4" i="1"/>
  <c r="B5" i="1"/>
  <c r="B6" i="1"/>
  <c r="B7" i="1"/>
  <c r="B8" i="1"/>
  <c r="B9" i="1"/>
  <c r="C9" i="1" s="1"/>
  <c r="B10" i="1"/>
  <c r="C10" i="1" s="1"/>
  <c r="B11" i="1"/>
  <c r="B12" i="1"/>
  <c r="D22" i="1" l="1"/>
  <c r="D21" i="1"/>
  <c r="D20" i="1"/>
  <c r="D19" i="1"/>
  <c r="D18" i="1"/>
  <c r="D17" i="1"/>
  <c r="D16" i="1"/>
  <c r="D15" i="1"/>
  <c r="D14" i="1"/>
  <c r="D13" i="1"/>
  <c r="F14" i="1"/>
  <c r="F15" i="1"/>
  <c r="F22" i="1"/>
  <c r="F21" i="1"/>
  <c r="F20" i="1"/>
  <c r="F19" i="1"/>
  <c r="F18" i="1"/>
  <c r="F17" i="1"/>
  <c r="F16" i="1"/>
  <c r="F13" i="1"/>
  <c r="C2" i="1"/>
  <c r="D8" i="1"/>
  <c r="C7" i="1"/>
  <c r="D6" i="1"/>
  <c r="C8" i="1"/>
  <c r="C6" i="1"/>
  <c r="D11" i="1"/>
  <c r="D10" i="1"/>
  <c r="F10" i="1" s="1"/>
  <c r="C5" i="1"/>
  <c r="D9" i="1"/>
  <c r="F9" i="1" s="1"/>
  <c r="C12" i="1"/>
  <c r="C4" i="1"/>
  <c r="C11" i="1"/>
  <c r="C3" i="1"/>
  <c r="D5" i="1"/>
  <c r="D4" i="1"/>
  <c r="D2" i="1"/>
  <c r="D3" i="1"/>
  <c r="D12" i="1"/>
  <c r="D7" i="1"/>
  <c r="F2" i="1" l="1"/>
  <c r="F8" i="1"/>
  <c r="F7" i="1"/>
  <c r="F6" i="1"/>
  <c r="F3" i="1"/>
  <c r="F12" i="1"/>
  <c r="F5" i="1"/>
  <c r="F11" i="1"/>
  <c r="F4" i="1"/>
</calcChain>
</file>

<file path=xl/sharedStrings.xml><?xml version="1.0" encoding="utf-8"?>
<sst xmlns="http://schemas.openxmlformats.org/spreadsheetml/2006/main" count="10" uniqueCount="10">
  <si>
    <r>
      <t>p(x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</si>
  <si>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r>
      <t>p(y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</si>
  <si>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t>H(Y)</t>
  </si>
  <si>
    <t>H(Y|X)</t>
  </si>
  <si>
    <r>
      <t>p(y</t>
    </r>
    <r>
      <rPr>
        <b/>
        <i/>
        <sz val="8"/>
        <color theme="1" tint="4.9989318521683403E-2"/>
        <rFont val="Times New Roman"/>
        <family val="1"/>
        <charset val="204"/>
      </rPr>
      <t>2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</si>
  <si>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t>C</t>
  </si>
  <si>
    <t>P(Y|X)</t>
  </si>
  <si>
    <r>
      <rPr>
        <b/>
        <i/>
        <sz val="14"/>
        <color rgb="FF0D0D0D"/>
        <rFont val="Times New Roman"/>
      </rPr>
      <t>V</t>
    </r>
    <r>
      <rPr>
        <b/>
        <i/>
        <sz val="8"/>
        <color rgb="FF0D0D0D"/>
        <rFont val="Times New Roman"/>
      </rPr>
      <t>0</t>
    </r>
  </si>
  <si>
    <r>
      <t>H(Y|x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</si>
  <si>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r>
      <t>H(Y|x</t>
    </r>
    <r>
      <rPr>
        <b/>
        <i/>
        <sz val="8"/>
        <color theme="1" tint="4.9989318521683403E-2"/>
        <rFont val="Times New Roman"/>
        <family val="1"/>
        <charset val="204"/>
      </rPr>
      <t>2</t>
    </r>
    <r>
      <rPr>
        <b/>
        <i/>
        <sz val="14"/>
        <color theme="1" tint="4.9989318521683403E-2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</si>
</sst>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charset val="204"/>
      <scheme val="minor"/>
    </font>
    <font>
      <sz val="14"/>
      <color theme="1" tint="4.9989318521683403E-2"/>
      <name val="Times New Roman"/>
      <family val="1"/>
      <charset val="204"/>
    </font>
    <font>
      <b/>
      <i/>
      <sz val="14"/>
      <color theme="1" tint="4.9989318521683403E-2"/>
      <name val="Times New Roman"/>
      <family val="1"/>
      <charset val="204"/>
    </font>
    <font>
      <b/>
      <i/>
      <sz val="8"/>
      <color theme="1" tint="4.9989318521683403E-2"/>
      <name val="Times New Roman"/>
      <family val="1"/>
      <charset val="204"/>
    </font>
    <font>
      <b/>
      <i/>
      <sz val="14"/>
      <color rgb="FF0D0D0D"/>
      <name val="Times New Roman"/>
    </font>
    <font>
      <b/>
      <i/>
      <sz val="8"/>
      <color rgb="FF0D0D0D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164" fontId="1" fillId="0" borderId="1" xfId="0" applyNumberFormat="1" applyFont="1" applyBorder="1"/>
    <xf numFmtId="0" fontId="2" fillId="3" borderId="1" xfId="0" applyFont="1" applyFill="1" applyBorder="1"/>
    <xf numFmtId="0" fontId="4" fillId="3" borderId="1" xfId="0" applyFont="1" applyFill="1" applyBorder="1"/>
    <xf numFmtId="0" fontId="1" fillId="4" borderId="1" xfId="0" applyFont="1" applyFill="1" applyBorder="1"/>
    <xf numFmtId="164" fontId="1" fillId="2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10" sqref="A10:F10"/>
    </sheetView>
  </sheetViews>
  <sheetFormatPr defaultColWidth="12.42578125" defaultRowHeight="21.6" customHeight="1"/>
  <cols>
    <col min="1" max="16384" width="12.42578125" style="1"/>
  </cols>
  <sheetData>
    <row r="1" spans="1:10" ht="21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6" t="s">
        <v>6</v>
      </c>
    </row>
    <row r="2" spans="1:10" ht="21.6" customHeight="1">
      <c r="A2" s="2">
        <v>0.4</v>
      </c>
      <c r="B2" s="2">
        <f t="shared" ref="B2:B22" si="0">A2*H$2+(1-A2)*H$3</f>
        <v>0.38200000000000006</v>
      </c>
      <c r="C2" s="5">
        <f t="shared" ref="C2:C22" si="1">-B2*LOG(B2,2)-E2*LOG(E2,2)</f>
        <v>0.95944232110752758</v>
      </c>
      <c r="D2" s="5">
        <f t="shared" ref="D2:D22" si="2">A2*I$6+(1-A2)*J$6</f>
        <v>0.29122304152458689</v>
      </c>
      <c r="E2" s="2">
        <f t="shared" ref="E2:E22" si="3">A2*I$2+(1-A2)*I$3</f>
        <v>0.61799999999999999</v>
      </c>
      <c r="F2" s="5">
        <f t="shared" ref="F2:F22" si="4">H$6*(C2-D2)</f>
        <v>668.21927958294066</v>
      </c>
      <c r="H2" s="2">
        <v>0.91</v>
      </c>
      <c r="I2" s="2">
        <v>0.09</v>
      </c>
    </row>
    <row r="3" spans="1:10" ht="21.6" customHeight="1">
      <c r="A3" s="2">
        <v>0.41</v>
      </c>
      <c r="B3" s="2">
        <f t="shared" si="0"/>
        <v>0.39079999999999998</v>
      </c>
      <c r="C3" s="5">
        <f t="shared" si="1"/>
        <v>0.96531387650414602</v>
      </c>
      <c r="D3" s="5">
        <f t="shared" si="2"/>
        <v>0.29364382111691217</v>
      </c>
      <c r="E3" s="2">
        <f t="shared" si="3"/>
        <v>0.60920000000000007</v>
      </c>
      <c r="F3" s="5">
        <f t="shared" si="4"/>
        <v>671.6700553872339</v>
      </c>
      <c r="H3" s="2">
        <v>0.03</v>
      </c>
      <c r="I3" s="2">
        <v>0.97</v>
      </c>
    </row>
    <row r="4" spans="1:10" ht="21.6" customHeight="1">
      <c r="A4" s="2">
        <v>0.42</v>
      </c>
      <c r="B4" s="2">
        <f t="shared" si="0"/>
        <v>0.39960000000000001</v>
      </c>
      <c r="C4" s="5">
        <f t="shared" si="1"/>
        <v>0.97071612850253763</v>
      </c>
      <c r="D4" s="5">
        <f t="shared" si="2"/>
        <v>0.29606460070923746</v>
      </c>
      <c r="E4" s="2">
        <f t="shared" si="3"/>
        <v>0.60040000000000004</v>
      </c>
      <c r="F4" s="5">
        <f t="shared" si="4"/>
        <v>674.65152779330015</v>
      </c>
    </row>
    <row r="5" spans="1:10" ht="21.6" customHeight="1">
      <c r="A5" s="2">
        <v>0.43</v>
      </c>
      <c r="B5" s="2">
        <f t="shared" si="0"/>
        <v>0.40839999999999999</v>
      </c>
      <c r="C5" s="5">
        <f t="shared" si="1"/>
        <v>0.97565268610314693</v>
      </c>
      <c r="D5" s="5">
        <f t="shared" si="2"/>
        <v>0.29848538030156269</v>
      </c>
      <c r="E5" s="2">
        <f t="shared" si="3"/>
        <v>0.59160000000000001</v>
      </c>
      <c r="F5" s="5">
        <f t="shared" si="4"/>
        <v>677.16730580158423</v>
      </c>
      <c r="H5" s="7" t="s">
        <v>7</v>
      </c>
      <c r="I5" s="6" t="s">
        <v>8</v>
      </c>
      <c r="J5" s="6" t="s">
        <v>9</v>
      </c>
    </row>
    <row r="6" spans="1:10" ht="21.6" customHeight="1">
      <c r="A6" s="2">
        <v>0.44</v>
      </c>
      <c r="B6" s="2">
        <f t="shared" si="0"/>
        <v>0.41720000000000002</v>
      </c>
      <c r="C6" s="5">
        <f t="shared" si="1"/>
        <v>0.98012680687900522</v>
      </c>
      <c r="D6" s="5">
        <f t="shared" si="2"/>
        <v>0.30090615989388797</v>
      </c>
      <c r="E6" s="2">
        <f t="shared" si="3"/>
        <v>0.58279999999999998</v>
      </c>
      <c r="F6" s="5">
        <f t="shared" si="4"/>
        <v>679.22064698511724</v>
      </c>
      <c r="H6" s="3">
        <f>1/0.001</f>
        <v>1000</v>
      </c>
      <c r="I6" s="2">
        <f>-H2*LOG(H2,2)-I2*LOG(I2,2)</f>
        <v>0.43646981706410293</v>
      </c>
      <c r="J6" s="2">
        <f>-H3*LOG(H3,2)-I3*LOG(I3,2)</f>
        <v>0.19439185783157623</v>
      </c>
    </row>
    <row r="7" spans="1:10" ht="21.6" customHeight="1">
      <c r="A7" s="2">
        <v>0.45</v>
      </c>
      <c r="B7" s="2">
        <f t="shared" si="0"/>
        <v>0.42600000000000005</v>
      </c>
      <c r="C7" s="5">
        <f t="shared" si="1"/>
        <v>0.98414141053403514</v>
      </c>
      <c r="D7" s="5">
        <f t="shared" si="2"/>
        <v>0.30332693948621325</v>
      </c>
      <c r="E7" s="2">
        <f t="shared" si="3"/>
        <v>0.57399999999999995</v>
      </c>
      <c r="F7" s="5">
        <f t="shared" si="4"/>
        <v>680.81447104782194</v>
      </c>
    </row>
    <row r="8" spans="1:10" ht="21.6" customHeight="1">
      <c r="A8" s="2">
        <v>0.46</v>
      </c>
      <c r="B8" s="2">
        <f t="shared" si="0"/>
        <v>0.43480000000000002</v>
      </c>
      <c r="C8" s="5">
        <f t="shared" si="1"/>
        <v>0.98769909081883278</v>
      </c>
      <c r="D8" s="5">
        <f t="shared" si="2"/>
        <v>0.30574771907853848</v>
      </c>
      <c r="E8" s="2">
        <f t="shared" si="3"/>
        <v>0.56520000000000004</v>
      </c>
      <c r="F8" s="5">
        <f t="shared" si="4"/>
        <v>681.95137174029435</v>
      </c>
    </row>
    <row r="9" spans="1:10" ht="21.6" customHeight="1">
      <c r="A9" s="2">
        <v>0.47</v>
      </c>
      <c r="B9" s="2">
        <f t="shared" si="0"/>
        <v>0.44359999999999999</v>
      </c>
      <c r="C9" s="5">
        <f t="shared" si="1"/>
        <v>0.99080212593041317</v>
      </c>
      <c r="D9" s="5">
        <f t="shared" si="2"/>
        <v>0.30816849867086377</v>
      </c>
      <c r="E9" s="2">
        <f t="shared" si="3"/>
        <v>0.55640000000000001</v>
      </c>
      <c r="F9" s="5">
        <f t="shared" si="4"/>
        <v>682.63362725954948</v>
      </c>
    </row>
    <row r="10" spans="1:10" ht="21.6" customHeight="1">
      <c r="A10" s="4">
        <v>0.48</v>
      </c>
      <c r="B10" s="4">
        <f t="shared" si="0"/>
        <v>0.45240000000000002</v>
      </c>
      <c r="C10" s="9">
        <f t="shared" si="1"/>
        <v>0.9934524875036288</v>
      </c>
      <c r="D10" s="9">
        <f t="shared" si="2"/>
        <v>0.31058927826318905</v>
      </c>
      <c r="E10" s="4">
        <f t="shared" si="3"/>
        <v>0.54759999999999998</v>
      </c>
      <c r="F10" s="9">
        <f t="shared" si="4"/>
        <v>682.8632092404398</v>
      </c>
    </row>
    <row r="11" spans="1:10" ht="21.6" customHeight="1">
      <c r="A11" s="2">
        <v>0.49</v>
      </c>
      <c r="B11" s="2">
        <f t="shared" si="0"/>
        <v>0.4612</v>
      </c>
      <c r="C11" s="5">
        <f t="shared" si="1"/>
        <v>0.99565184828536335</v>
      </c>
      <c r="D11" s="5">
        <f t="shared" si="2"/>
        <v>0.31301005785551428</v>
      </c>
      <c r="E11" s="2">
        <f t="shared" si="3"/>
        <v>0.53879999999999995</v>
      </c>
      <c r="F11" s="5">
        <f t="shared" si="4"/>
        <v>682.64179042984904</v>
      </c>
    </row>
    <row r="12" spans="1:10" ht="21.6" customHeight="1">
      <c r="A12" s="2">
        <v>0.5</v>
      </c>
      <c r="B12" s="2">
        <f t="shared" si="0"/>
        <v>0.47000000000000003</v>
      </c>
      <c r="C12" s="5">
        <f t="shared" si="1"/>
        <v>0.99740158856773964</v>
      </c>
      <c r="D12" s="5">
        <f t="shared" si="2"/>
        <v>0.31543083744783956</v>
      </c>
      <c r="E12" s="2">
        <f t="shared" si="3"/>
        <v>0.53</v>
      </c>
      <c r="F12" s="5">
        <f t="shared" si="4"/>
        <v>681.9707511199</v>
      </c>
    </row>
    <row r="13" spans="1:10" ht="21.6" customHeight="1">
      <c r="A13" s="8">
        <v>0.51</v>
      </c>
      <c r="B13" s="8">
        <f t="shared" si="0"/>
        <v>0.4788</v>
      </c>
      <c r="C13" s="8">
        <f t="shared" si="1"/>
        <v>0.9987028014431889</v>
      </c>
      <c r="D13" s="8">
        <f t="shared" si="2"/>
        <v>0.31785161704016485</v>
      </c>
      <c r="E13" s="8">
        <f t="shared" si="3"/>
        <v>0.5212</v>
      </c>
      <c r="F13" s="8">
        <f t="shared" si="4"/>
        <v>680.85118440302404</v>
      </c>
    </row>
    <row r="14" spans="1:10" ht="21.6" customHeight="1">
      <c r="A14" s="2">
        <v>0.52</v>
      </c>
      <c r="B14" s="2">
        <f t="shared" si="0"/>
        <v>0.48760000000000003</v>
      </c>
      <c r="C14" s="2">
        <f t="shared" si="1"/>
        <v>0.99955629693197434</v>
      </c>
      <c r="D14" s="2">
        <f t="shared" si="2"/>
        <v>0.32027239663249008</v>
      </c>
      <c r="E14" s="2">
        <f t="shared" si="3"/>
        <v>0.51239999999999997</v>
      </c>
      <c r="F14" s="2">
        <f t="shared" si="4"/>
        <v>679.28390029948423</v>
      </c>
    </row>
    <row r="15" spans="1:10" ht="21.6" customHeight="1">
      <c r="A15" s="2">
        <v>0.53</v>
      </c>
      <c r="B15" s="2">
        <f t="shared" si="0"/>
        <v>0.49640000000000006</v>
      </c>
      <c r="C15" s="2">
        <f t="shared" si="1"/>
        <v>0.99996260502144363</v>
      </c>
      <c r="D15" s="2">
        <f t="shared" si="2"/>
        <v>0.32269317622481536</v>
      </c>
      <c r="E15" s="2">
        <f t="shared" si="3"/>
        <v>0.50359999999999994</v>
      </c>
      <c r="F15" s="2">
        <f t="shared" si="4"/>
        <v>677.26942879662829</v>
      </c>
    </row>
    <row r="16" spans="1:10" ht="21.6" customHeight="1">
      <c r="A16" s="2">
        <v>0.54</v>
      </c>
      <c r="B16" s="2">
        <f t="shared" si="0"/>
        <v>0.50520000000000009</v>
      </c>
      <c r="C16" s="2">
        <f t="shared" si="1"/>
        <v>0.99992197764567026</v>
      </c>
      <c r="D16" s="2">
        <f t="shared" si="2"/>
        <v>0.32511395581714064</v>
      </c>
      <c r="E16" s="2">
        <f t="shared" si="3"/>
        <v>0.49479999999999991</v>
      </c>
      <c r="F16" s="2">
        <f t="shared" si="4"/>
        <v>674.8080218285296</v>
      </c>
    </row>
    <row r="17" spans="1:6" ht="21.6" customHeight="1">
      <c r="A17" s="2">
        <v>0.55000000000000004</v>
      </c>
      <c r="B17" s="2">
        <f t="shared" si="0"/>
        <v>0.51400000000000001</v>
      </c>
      <c r="C17" s="2">
        <f t="shared" si="1"/>
        <v>0.99943438962402431</v>
      </c>
      <c r="D17" s="2">
        <f t="shared" si="2"/>
        <v>0.32753473540946593</v>
      </c>
      <c r="E17" s="2">
        <f t="shared" si="3"/>
        <v>0.48599999999999993</v>
      </c>
      <c r="F17" s="2">
        <f t="shared" si="4"/>
        <v>671.89965421455838</v>
      </c>
    </row>
    <row r="18" spans="1:6" ht="21.6" customHeight="1">
      <c r="A18" s="2">
        <v>0.56000000000000005</v>
      </c>
      <c r="B18" s="2">
        <f t="shared" si="0"/>
        <v>0.52280000000000004</v>
      </c>
      <c r="C18" s="2">
        <f t="shared" si="1"/>
        <v>0.99849953856743401</v>
      </c>
      <c r="D18" s="2">
        <f t="shared" si="2"/>
        <v>0.32995551500179121</v>
      </c>
      <c r="E18" s="2">
        <f t="shared" si="3"/>
        <v>0.47719999999999996</v>
      </c>
      <c r="F18" s="2">
        <f t="shared" si="4"/>
        <v>668.54402356564276</v>
      </c>
    </row>
    <row r="19" spans="1:6" ht="21.6" customHeight="1">
      <c r="A19" s="2">
        <v>0.56999999999999995</v>
      </c>
      <c r="B19" s="2">
        <f t="shared" si="0"/>
        <v>0.53159999999999996</v>
      </c>
      <c r="C19" s="2">
        <f t="shared" si="1"/>
        <v>0.99711684375146603</v>
      </c>
      <c r="D19" s="2">
        <f t="shared" si="2"/>
        <v>0.33237629459411644</v>
      </c>
      <c r="E19" s="2">
        <f t="shared" si="3"/>
        <v>0.46840000000000004</v>
      </c>
      <c r="F19" s="2">
        <f t="shared" si="4"/>
        <v>664.74054915734962</v>
      </c>
    </row>
    <row r="20" spans="1:6" ht="21.6" customHeight="1">
      <c r="A20" s="2">
        <v>0.57999999999999996</v>
      </c>
      <c r="B20" s="2">
        <f t="shared" si="0"/>
        <v>0.54039999999999999</v>
      </c>
      <c r="C20" s="2">
        <f t="shared" si="1"/>
        <v>0.99528544394569574</v>
      </c>
      <c r="D20" s="2">
        <f t="shared" si="2"/>
        <v>0.33479707418644172</v>
      </c>
      <c r="E20" s="2">
        <f t="shared" si="3"/>
        <v>0.45960000000000001</v>
      </c>
      <c r="F20" s="2">
        <f t="shared" si="4"/>
        <v>660.48836975925406</v>
      </c>
    </row>
    <row r="21" spans="1:6" ht="21.6" customHeight="1">
      <c r="A21" s="2">
        <v>0.59</v>
      </c>
      <c r="B21" s="2">
        <f t="shared" si="0"/>
        <v>0.54920000000000002</v>
      </c>
      <c r="C21" s="2">
        <f t="shared" si="1"/>
        <v>0.99300419417902452</v>
      </c>
      <c r="D21" s="2">
        <f t="shared" si="2"/>
        <v>0.33721785377876695</v>
      </c>
      <c r="E21" s="2">
        <f t="shared" si="3"/>
        <v>0.45079999999999998</v>
      </c>
      <c r="F21" s="2">
        <f t="shared" si="4"/>
        <v>655.78634040025747</v>
      </c>
    </row>
    <row r="22" spans="1:6" ht="21.6" customHeight="1">
      <c r="A22" s="2">
        <v>0.6</v>
      </c>
      <c r="B22" s="2">
        <f t="shared" si="0"/>
        <v>0.55800000000000005</v>
      </c>
      <c r="C22" s="2">
        <f t="shared" si="1"/>
        <v>0.99027166141038769</v>
      </c>
      <c r="D22" s="2">
        <f t="shared" si="2"/>
        <v>0.33963863337109224</v>
      </c>
      <c r="E22" s="2">
        <f t="shared" si="3"/>
        <v>0.442</v>
      </c>
      <c r="F22" s="2">
        <f t="shared" si="4"/>
        <v>650.63302803929548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Назар</dc:creator>
  <cp:keywords/>
  <dc:description/>
  <cp:lastModifiedBy>Лук`янчук Денис</cp:lastModifiedBy>
  <cp:revision/>
  <dcterms:created xsi:type="dcterms:W3CDTF">2022-03-27T15:45:31Z</dcterms:created>
  <dcterms:modified xsi:type="dcterms:W3CDTF">2025-03-17T11:11:02Z</dcterms:modified>
  <cp:category/>
  <cp:contentStatus/>
</cp:coreProperties>
</file>